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'Estoque'!$A$5:$M$65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5F54"/>
      <sz val="16"/>
    </font>
    <font>
      <name val="Calibri"/>
      <i val="1"/>
      <color rgb="006B7280"/>
    </font>
    <font>
      <b val="1"/>
    </font>
    <font>
      <name val="Calibri"/>
      <b val="1"/>
      <color rgb="00FFFFFF"/>
    </font>
    <font>
      <b val="1"/>
      <color rgb="001F5F54"/>
    </font>
    <font>
      <i val="1"/>
      <color rgb="006B7280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5F54"/>
      </patternFill>
    </fill>
    <fill>
      <patternFill patternType="solid">
        <fgColor rgb="00EEF3F1"/>
      </patternFill>
    </fill>
  </fills>
  <borders count="2">
    <border>
      <left/>
      <right/>
      <top/>
      <bottom/>
      <diagonal/>
    </border>
    <border>
      <left style="thin">
        <color rgb="00D9DEDC"/>
      </left>
      <right style="thin">
        <color rgb="00D9DEDC"/>
      </right>
      <top style="thin">
        <color rgb="00D9DEDC"/>
      </top>
      <bottom style="thin">
        <color rgb="00D9DE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2" borderId="1" pivotButton="0" quotePrefix="0" xfId="0"/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9" fontId="5" fillId="4" borderId="1" applyAlignment="1" pivotButton="0" quotePrefix="0" xfId="0">
      <alignment horizontal="center"/>
    </xf>
    <xf numFmtId="164" fontId="5" fillId="0" borderId="0" pivotButton="0" quotePrefix="0" xfId="0"/>
    <xf numFmtId="0" fontId="0" fillId="0" borderId="1" pivotButton="0" quotePrefix="0" xfId="0"/>
    <xf numFmtId="1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3" customWidth="1" min="8" max="8"/>
    <col width="14" customWidth="1" min="9" max="9"/>
    <col width="14" customWidth="1" min="10" max="10"/>
    <col width="18" customWidth="1" min="11" max="11"/>
    <col width="12" customWidth="1" min="12" max="12"/>
    <col width="10" customWidth="1" min="13" max="13"/>
  </cols>
  <sheetData>
    <row r="1">
      <c r="A1" s="1" t="inlineStr">
        <is>
          <t>Controle de estoque com curva ABC</t>
        </is>
      </c>
    </row>
    <row r="2">
      <c r="A2" s="2" t="inlineStr">
        <is>
          <t>Preencha as células amarelas. Curva ABC, ponto de reposição e alertas de compra se calculam sozinhos.</t>
        </is>
      </c>
    </row>
    <row r="3">
      <c r="A3" s="3" t="inlineStr">
        <is>
          <t>Dias de cobertura de segurança:</t>
        </is>
      </c>
      <c r="D3" s="4" t="n">
        <v>7</v>
      </c>
    </row>
    <row r="5" ht="44" customHeight="1">
      <c r="A5" s="5" t="inlineStr">
        <is>
          <t>Item</t>
        </is>
      </c>
      <c r="B5" s="5" t="inlineStr">
        <is>
          <t>Unidade</t>
        </is>
      </c>
      <c r="C5" s="5" t="inlineStr">
        <is>
          <t>Estoque atual</t>
        </is>
      </c>
      <c r="D5" s="5" t="inlineStr">
        <is>
          <t>Consumo mensal</t>
        </is>
      </c>
      <c r="E5" s="5" t="inlineStr">
        <is>
          <t>Custo unitário (R$)</t>
        </is>
      </c>
      <c r="F5" s="5" t="inlineStr">
        <is>
          <t>Prazo de entrega (dias)</t>
        </is>
      </c>
      <c r="G5" s="5" t="inlineStr">
        <is>
          <t>Estoque mínimo</t>
        </is>
      </c>
      <c r="H5" s="5" t="inlineStr">
        <is>
          <t>Ponto de reposição</t>
        </is>
      </c>
      <c r="I5" s="5" t="inlineStr">
        <is>
          <t>Situação</t>
        </is>
      </c>
      <c r="J5" s="5" t="inlineStr">
        <is>
          <t>Qtd. sugerida de compra</t>
        </is>
      </c>
      <c r="K5" s="5" t="inlineStr">
        <is>
          <t>Valor consumido/ano (R$)</t>
        </is>
      </c>
      <c r="L5" s="5" t="inlineStr">
        <is>
          <t>% acumulado</t>
        </is>
      </c>
      <c r="M5" s="5" t="inlineStr">
        <is>
          <t>Classe ABC</t>
        </is>
      </c>
    </row>
    <row r="6">
      <c r="A6" s="4" t="n"/>
      <c r="B6" s="4" t="n"/>
      <c r="C6" s="4" t="n"/>
      <c r="D6" s="4" t="n"/>
      <c r="E6" s="6" t="n"/>
      <c r="F6" s="4" t="n"/>
      <c r="G6" s="7">
        <f>IF(A6="","",ROUNDUP(D6/30*$D$3,0))</f>
        <v/>
      </c>
      <c r="H6" s="7">
        <f>IF(A6="","",G6+ROUNDUP(D6/30*F6,0))</f>
        <v/>
      </c>
      <c r="I6" s="7">
        <f>IF(A6="","",IF(C6&lt;=G6,"COMPRAR JÁ",IF(C6&lt;=H6,"Repor","OK")))</f>
        <v/>
      </c>
      <c r="J6" s="7">
        <f>IF(OR(A6="",I6="OK"),"",MAX(0,H6+D6-C6))</f>
        <v/>
      </c>
      <c r="K6" s="8">
        <f>IF(A6="","",D6*12*E6)</f>
        <v/>
      </c>
      <c r="L6" s="9">
        <f>IF(OR(A6="",$K$67=0),"",SUMIF($K$6:$K$65,"&gt;="&amp;K6)/$K$67)</f>
        <v/>
      </c>
      <c r="M6" s="7">
        <f>IF(L6="","",IF(L6&lt;=0.8,"A",IF(L6&lt;=0.95,"B","C")))</f>
        <v/>
      </c>
    </row>
    <row r="7">
      <c r="A7" s="4" t="n"/>
      <c r="B7" s="4" t="n"/>
      <c r="C7" s="4" t="n"/>
      <c r="D7" s="4" t="n"/>
      <c r="E7" s="6" t="n"/>
      <c r="F7" s="4" t="n"/>
      <c r="G7" s="7">
        <f>IF(A7="","",ROUNDUP(D7/30*$D$3,0))</f>
        <v/>
      </c>
      <c r="H7" s="7">
        <f>IF(A7="","",G7+ROUNDUP(D7/30*F7,0))</f>
        <v/>
      </c>
      <c r="I7" s="7">
        <f>IF(A7="","",IF(C7&lt;=G7,"COMPRAR JÁ",IF(C7&lt;=H7,"Repor","OK")))</f>
        <v/>
      </c>
      <c r="J7" s="7">
        <f>IF(OR(A7="",I7="OK"),"",MAX(0,H7+D7-C7))</f>
        <v/>
      </c>
      <c r="K7" s="8">
        <f>IF(A7="","",D7*12*E7)</f>
        <v/>
      </c>
      <c r="L7" s="9">
        <f>IF(OR(A7="",$K$67=0),"",SUMIF($K$6:$K$65,"&gt;="&amp;K7)/$K$67)</f>
        <v/>
      </c>
      <c r="M7" s="7">
        <f>IF(L7="","",IF(L7&lt;=0.8,"A",IF(L7&lt;=0.95,"B","C")))</f>
        <v/>
      </c>
    </row>
    <row r="8">
      <c r="A8" s="4" t="n"/>
      <c r="B8" s="4" t="n"/>
      <c r="C8" s="4" t="n"/>
      <c r="D8" s="4" t="n"/>
      <c r="E8" s="6" t="n"/>
      <c r="F8" s="4" t="n"/>
      <c r="G8" s="7">
        <f>IF(A8="","",ROUNDUP(D8/30*$D$3,0))</f>
        <v/>
      </c>
      <c r="H8" s="7">
        <f>IF(A8="","",G8+ROUNDUP(D8/30*F8,0))</f>
        <v/>
      </c>
      <c r="I8" s="7">
        <f>IF(A8="","",IF(C8&lt;=G8,"COMPRAR JÁ",IF(C8&lt;=H8,"Repor","OK")))</f>
        <v/>
      </c>
      <c r="J8" s="7">
        <f>IF(OR(A8="",I8="OK"),"",MAX(0,H8+D8-C8))</f>
        <v/>
      </c>
      <c r="K8" s="8">
        <f>IF(A8="","",D8*12*E8)</f>
        <v/>
      </c>
      <c r="L8" s="9">
        <f>IF(OR(A8="",$K$67=0),"",SUMIF($K$6:$K$65,"&gt;="&amp;K8)/$K$67)</f>
        <v/>
      </c>
      <c r="M8" s="7">
        <f>IF(L8="","",IF(L8&lt;=0.8,"A",IF(L8&lt;=0.95,"B","C")))</f>
        <v/>
      </c>
    </row>
    <row r="9">
      <c r="A9" s="4" t="n"/>
      <c r="B9" s="4" t="n"/>
      <c r="C9" s="4" t="n"/>
      <c r="D9" s="4" t="n"/>
      <c r="E9" s="6" t="n"/>
      <c r="F9" s="4" t="n"/>
      <c r="G9" s="7">
        <f>IF(A9="","",ROUNDUP(D9/30*$D$3,0))</f>
        <v/>
      </c>
      <c r="H9" s="7">
        <f>IF(A9="","",G9+ROUNDUP(D9/30*F9,0))</f>
        <v/>
      </c>
      <c r="I9" s="7">
        <f>IF(A9="","",IF(C9&lt;=G9,"COMPRAR JÁ",IF(C9&lt;=H9,"Repor","OK")))</f>
        <v/>
      </c>
      <c r="J9" s="7">
        <f>IF(OR(A9="",I9="OK"),"",MAX(0,H9+D9-C9))</f>
        <v/>
      </c>
      <c r="K9" s="8">
        <f>IF(A9="","",D9*12*E9)</f>
        <v/>
      </c>
      <c r="L9" s="9">
        <f>IF(OR(A9="",$K$67=0),"",SUMIF($K$6:$K$65,"&gt;="&amp;K9)/$K$67)</f>
        <v/>
      </c>
      <c r="M9" s="7">
        <f>IF(L9="","",IF(L9&lt;=0.8,"A",IF(L9&lt;=0.95,"B","C")))</f>
        <v/>
      </c>
    </row>
    <row r="10">
      <c r="A10" s="4" t="n"/>
      <c r="B10" s="4" t="n"/>
      <c r="C10" s="4" t="n"/>
      <c r="D10" s="4" t="n"/>
      <c r="E10" s="6" t="n"/>
      <c r="F10" s="4" t="n"/>
      <c r="G10" s="7">
        <f>IF(A10="","",ROUNDUP(D10/30*$D$3,0))</f>
        <v/>
      </c>
      <c r="H10" s="7">
        <f>IF(A10="","",G10+ROUNDUP(D10/30*F10,0))</f>
        <v/>
      </c>
      <c r="I10" s="7">
        <f>IF(A10="","",IF(C10&lt;=G10,"COMPRAR JÁ",IF(C10&lt;=H10,"Repor","OK")))</f>
        <v/>
      </c>
      <c r="J10" s="7">
        <f>IF(OR(A10="",I10="OK"),"",MAX(0,H10+D10-C10))</f>
        <v/>
      </c>
      <c r="K10" s="8">
        <f>IF(A10="","",D10*12*E10)</f>
        <v/>
      </c>
      <c r="L10" s="9">
        <f>IF(OR(A10="",$K$67=0),"",SUMIF($K$6:$K$65,"&gt;="&amp;K10)/$K$67)</f>
        <v/>
      </c>
      <c r="M10" s="7">
        <f>IF(L10="","",IF(L10&lt;=0.8,"A",IF(L10&lt;=0.95,"B","C")))</f>
        <v/>
      </c>
    </row>
    <row r="11">
      <c r="A11" s="4" t="n"/>
      <c r="B11" s="4" t="n"/>
      <c r="C11" s="4" t="n"/>
      <c r="D11" s="4" t="n"/>
      <c r="E11" s="6" t="n"/>
      <c r="F11" s="4" t="n"/>
      <c r="G11" s="7">
        <f>IF(A11="","",ROUNDUP(D11/30*$D$3,0))</f>
        <v/>
      </c>
      <c r="H11" s="7">
        <f>IF(A11="","",G11+ROUNDUP(D11/30*F11,0))</f>
        <v/>
      </c>
      <c r="I11" s="7">
        <f>IF(A11="","",IF(C11&lt;=G11,"COMPRAR JÁ",IF(C11&lt;=H11,"Repor","OK")))</f>
        <v/>
      </c>
      <c r="J11" s="7">
        <f>IF(OR(A11="",I11="OK"),"",MAX(0,H11+D11-C11))</f>
        <v/>
      </c>
      <c r="K11" s="8">
        <f>IF(A11="","",D11*12*E11)</f>
        <v/>
      </c>
      <c r="L11" s="9">
        <f>IF(OR(A11="",$K$67=0),"",SUMIF($K$6:$K$65,"&gt;="&amp;K11)/$K$67)</f>
        <v/>
      </c>
      <c r="M11" s="7">
        <f>IF(L11="","",IF(L11&lt;=0.8,"A",IF(L11&lt;=0.95,"B","C")))</f>
        <v/>
      </c>
    </row>
    <row r="12">
      <c r="A12" s="4" t="n"/>
      <c r="B12" s="4" t="n"/>
      <c r="C12" s="4" t="n"/>
      <c r="D12" s="4" t="n"/>
      <c r="E12" s="6" t="n"/>
      <c r="F12" s="4" t="n"/>
      <c r="G12" s="7">
        <f>IF(A12="","",ROUNDUP(D12/30*$D$3,0))</f>
        <v/>
      </c>
      <c r="H12" s="7">
        <f>IF(A12="","",G12+ROUNDUP(D12/30*F12,0))</f>
        <v/>
      </c>
      <c r="I12" s="7">
        <f>IF(A12="","",IF(C12&lt;=G12,"COMPRAR JÁ",IF(C12&lt;=H12,"Repor","OK")))</f>
        <v/>
      </c>
      <c r="J12" s="7">
        <f>IF(OR(A12="",I12="OK"),"",MAX(0,H12+D12-C12))</f>
        <v/>
      </c>
      <c r="K12" s="8">
        <f>IF(A12="","",D12*12*E12)</f>
        <v/>
      </c>
      <c r="L12" s="9">
        <f>IF(OR(A12="",$K$67=0),"",SUMIF($K$6:$K$65,"&gt;="&amp;K12)/$K$67)</f>
        <v/>
      </c>
      <c r="M12" s="7">
        <f>IF(L12="","",IF(L12&lt;=0.8,"A",IF(L12&lt;=0.95,"B","C")))</f>
        <v/>
      </c>
    </row>
    <row r="13">
      <c r="A13" s="4" t="n"/>
      <c r="B13" s="4" t="n"/>
      <c r="C13" s="4" t="n"/>
      <c r="D13" s="4" t="n"/>
      <c r="E13" s="6" t="n"/>
      <c r="F13" s="4" t="n"/>
      <c r="G13" s="7">
        <f>IF(A13="","",ROUNDUP(D13/30*$D$3,0))</f>
        <v/>
      </c>
      <c r="H13" s="7">
        <f>IF(A13="","",G13+ROUNDUP(D13/30*F13,0))</f>
        <v/>
      </c>
      <c r="I13" s="7">
        <f>IF(A13="","",IF(C13&lt;=G13,"COMPRAR JÁ",IF(C13&lt;=H13,"Repor","OK")))</f>
        <v/>
      </c>
      <c r="J13" s="7">
        <f>IF(OR(A13="",I13="OK"),"",MAX(0,H13+D13-C13))</f>
        <v/>
      </c>
      <c r="K13" s="8">
        <f>IF(A13="","",D13*12*E13)</f>
        <v/>
      </c>
      <c r="L13" s="9">
        <f>IF(OR(A13="",$K$67=0),"",SUMIF($K$6:$K$65,"&gt;="&amp;K13)/$K$67)</f>
        <v/>
      </c>
      <c r="M13" s="7">
        <f>IF(L13="","",IF(L13&lt;=0.8,"A",IF(L13&lt;=0.95,"B","C")))</f>
        <v/>
      </c>
    </row>
    <row r="14">
      <c r="A14" s="4" t="n"/>
      <c r="B14" s="4" t="n"/>
      <c r="C14" s="4" t="n"/>
      <c r="D14" s="4" t="n"/>
      <c r="E14" s="6" t="n"/>
      <c r="F14" s="4" t="n"/>
      <c r="G14" s="7">
        <f>IF(A14="","",ROUNDUP(D14/30*$D$3,0))</f>
        <v/>
      </c>
      <c r="H14" s="7">
        <f>IF(A14="","",G14+ROUNDUP(D14/30*F14,0))</f>
        <v/>
      </c>
      <c r="I14" s="7">
        <f>IF(A14="","",IF(C14&lt;=G14,"COMPRAR JÁ",IF(C14&lt;=H14,"Repor","OK")))</f>
        <v/>
      </c>
      <c r="J14" s="7">
        <f>IF(OR(A14="",I14="OK"),"",MAX(0,H14+D14-C14))</f>
        <v/>
      </c>
      <c r="K14" s="8">
        <f>IF(A14="","",D14*12*E14)</f>
        <v/>
      </c>
      <c r="L14" s="9">
        <f>IF(OR(A14="",$K$67=0),"",SUMIF($K$6:$K$65,"&gt;="&amp;K14)/$K$67)</f>
        <v/>
      </c>
      <c r="M14" s="7">
        <f>IF(L14="","",IF(L14&lt;=0.8,"A",IF(L14&lt;=0.95,"B","C")))</f>
        <v/>
      </c>
    </row>
    <row r="15">
      <c r="A15" s="4" t="n"/>
      <c r="B15" s="4" t="n"/>
      <c r="C15" s="4" t="n"/>
      <c r="D15" s="4" t="n"/>
      <c r="E15" s="6" t="n"/>
      <c r="F15" s="4" t="n"/>
      <c r="G15" s="7">
        <f>IF(A15="","",ROUNDUP(D15/30*$D$3,0))</f>
        <v/>
      </c>
      <c r="H15" s="7">
        <f>IF(A15="","",G15+ROUNDUP(D15/30*F15,0))</f>
        <v/>
      </c>
      <c r="I15" s="7">
        <f>IF(A15="","",IF(C15&lt;=G15,"COMPRAR JÁ",IF(C15&lt;=H15,"Repor","OK")))</f>
        <v/>
      </c>
      <c r="J15" s="7">
        <f>IF(OR(A15="",I15="OK"),"",MAX(0,H15+D15-C15))</f>
        <v/>
      </c>
      <c r="K15" s="8">
        <f>IF(A15="","",D15*12*E15)</f>
        <v/>
      </c>
      <c r="L15" s="9">
        <f>IF(OR(A15="",$K$67=0),"",SUMIF($K$6:$K$65,"&gt;="&amp;K15)/$K$67)</f>
        <v/>
      </c>
      <c r="M15" s="7">
        <f>IF(L15="","",IF(L15&lt;=0.8,"A",IF(L15&lt;=0.95,"B","C")))</f>
        <v/>
      </c>
    </row>
    <row r="16">
      <c r="A16" s="4" t="n"/>
      <c r="B16" s="4" t="n"/>
      <c r="C16" s="4" t="n"/>
      <c r="D16" s="4" t="n"/>
      <c r="E16" s="6" t="n"/>
      <c r="F16" s="4" t="n"/>
      <c r="G16" s="7">
        <f>IF(A16="","",ROUNDUP(D16/30*$D$3,0))</f>
        <v/>
      </c>
      <c r="H16" s="7">
        <f>IF(A16="","",G16+ROUNDUP(D16/30*F16,0))</f>
        <v/>
      </c>
      <c r="I16" s="7">
        <f>IF(A16="","",IF(C16&lt;=G16,"COMPRAR JÁ",IF(C16&lt;=H16,"Repor","OK")))</f>
        <v/>
      </c>
      <c r="J16" s="7">
        <f>IF(OR(A16="",I16="OK"),"",MAX(0,H16+D16-C16))</f>
        <v/>
      </c>
      <c r="K16" s="8">
        <f>IF(A16="","",D16*12*E16)</f>
        <v/>
      </c>
      <c r="L16" s="9">
        <f>IF(OR(A16="",$K$67=0),"",SUMIF($K$6:$K$65,"&gt;="&amp;K16)/$K$67)</f>
        <v/>
      </c>
      <c r="M16" s="7">
        <f>IF(L16="","",IF(L16&lt;=0.8,"A",IF(L16&lt;=0.95,"B","C")))</f>
        <v/>
      </c>
    </row>
    <row r="17">
      <c r="A17" s="4" t="n"/>
      <c r="B17" s="4" t="n"/>
      <c r="C17" s="4" t="n"/>
      <c r="D17" s="4" t="n"/>
      <c r="E17" s="6" t="n"/>
      <c r="F17" s="4" t="n"/>
      <c r="G17" s="7">
        <f>IF(A17="","",ROUNDUP(D17/30*$D$3,0))</f>
        <v/>
      </c>
      <c r="H17" s="7">
        <f>IF(A17="","",G17+ROUNDUP(D17/30*F17,0))</f>
        <v/>
      </c>
      <c r="I17" s="7">
        <f>IF(A17="","",IF(C17&lt;=G17,"COMPRAR JÁ",IF(C17&lt;=H17,"Repor","OK")))</f>
        <v/>
      </c>
      <c r="J17" s="7">
        <f>IF(OR(A17="",I17="OK"),"",MAX(0,H17+D17-C17))</f>
        <v/>
      </c>
      <c r="K17" s="8">
        <f>IF(A17="","",D17*12*E17)</f>
        <v/>
      </c>
      <c r="L17" s="9">
        <f>IF(OR(A17="",$K$67=0),"",SUMIF($K$6:$K$65,"&gt;="&amp;K17)/$K$67)</f>
        <v/>
      </c>
      <c r="M17" s="7">
        <f>IF(L17="","",IF(L17&lt;=0.8,"A",IF(L17&lt;=0.95,"B","C")))</f>
        <v/>
      </c>
    </row>
    <row r="18">
      <c r="A18" s="4" t="n"/>
      <c r="B18" s="4" t="n"/>
      <c r="C18" s="4" t="n"/>
      <c r="D18" s="4" t="n"/>
      <c r="E18" s="6" t="n"/>
      <c r="F18" s="4" t="n"/>
      <c r="G18" s="7">
        <f>IF(A18="","",ROUNDUP(D18/30*$D$3,0))</f>
        <v/>
      </c>
      <c r="H18" s="7">
        <f>IF(A18="","",G18+ROUNDUP(D18/30*F18,0))</f>
        <v/>
      </c>
      <c r="I18" s="7">
        <f>IF(A18="","",IF(C18&lt;=G18,"COMPRAR JÁ",IF(C18&lt;=H18,"Repor","OK")))</f>
        <v/>
      </c>
      <c r="J18" s="7">
        <f>IF(OR(A18="",I18="OK"),"",MAX(0,H18+D18-C18))</f>
        <v/>
      </c>
      <c r="K18" s="8">
        <f>IF(A18="","",D18*12*E18)</f>
        <v/>
      </c>
      <c r="L18" s="9">
        <f>IF(OR(A18="",$K$67=0),"",SUMIF($K$6:$K$65,"&gt;="&amp;K18)/$K$67)</f>
        <v/>
      </c>
      <c r="M18" s="7">
        <f>IF(L18="","",IF(L18&lt;=0.8,"A",IF(L18&lt;=0.95,"B","C")))</f>
        <v/>
      </c>
    </row>
    <row r="19">
      <c r="A19" s="4" t="n"/>
      <c r="B19" s="4" t="n"/>
      <c r="C19" s="4" t="n"/>
      <c r="D19" s="4" t="n"/>
      <c r="E19" s="6" t="n"/>
      <c r="F19" s="4" t="n"/>
      <c r="G19" s="7">
        <f>IF(A19="","",ROUNDUP(D19/30*$D$3,0))</f>
        <v/>
      </c>
      <c r="H19" s="7">
        <f>IF(A19="","",G19+ROUNDUP(D19/30*F19,0))</f>
        <v/>
      </c>
      <c r="I19" s="7">
        <f>IF(A19="","",IF(C19&lt;=G19,"COMPRAR JÁ",IF(C19&lt;=H19,"Repor","OK")))</f>
        <v/>
      </c>
      <c r="J19" s="7">
        <f>IF(OR(A19="",I19="OK"),"",MAX(0,H19+D19-C19))</f>
        <v/>
      </c>
      <c r="K19" s="8">
        <f>IF(A19="","",D19*12*E19)</f>
        <v/>
      </c>
      <c r="L19" s="9">
        <f>IF(OR(A19="",$K$67=0),"",SUMIF($K$6:$K$65,"&gt;="&amp;K19)/$K$67)</f>
        <v/>
      </c>
      <c r="M19" s="7">
        <f>IF(L19="","",IF(L19&lt;=0.8,"A",IF(L19&lt;=0.95,"B","C")))</f>
        <v/>
      </c>
    </row>
    <row r="20">
      <c r="A20" s="4" t="n"/>
      <c r="B20" s="4" t="n"/>
      <c r="C20" s="4" t="n"/>
      <c r="D20" s="4" t="n"/>
      <c r="E20" s="6" t="n"/>
      <c r="F20" s="4" t="n"/>
      <c r="G20" s="7">
        <f>IF(A20="","",ROUNDUP(D20/30*$D$3,0))</f>
        <v/>
      </c>
      <c r="H20" s="7">
        <f>IF(A20="","",G20+ROUNDUP(D20/30*F20,0))</f>
        <v/>
      </c>
      <c r="I20" s="7">
        <f>IF(A20="","",IF(C20&lt;=G20,"COMPRAR JÁ",IF(C20&lt;=H20,"Repor","OK")))</f>
        <v/>
      </c>
      <c r="J20" s="7">
        <f>IF(OR(A20="",I20="OK"),"",MAX(0,H20+D20-C20))</f>
        <v/>
      </c>
      <c r="K20" s="8">
        <f>IF(A20="","",D20*12*E20)</f>
        <v/>
      </c>
      <c r="L20" s="9">
        <f>IF(OR(A20="",$K$67=0),"",SUMIF($K$6:$K$65,"&gt;="&amp;K20)/$K$67)</f>
        <v/>
      </c>
      <c r="M20" s="7">
        <f>IF(L20="","",IF(L20&lt;=0.8,"A",IF(L20&lt;=0.95,"B","C")))</f>
        <v/>
      </c>
    </row>
    <row r="21">
      <c r="A21" s="4" t="n"/>
      <c r="B21" s="4" t="n"/>
      <c r="C21" s="4" t="n"/>
      <c r="D21" s="4" t="n"/>
      <c r="E21" s="6" t="n"/>
      <c r="F21" s="4" t="n"/>
      <c r="G21" s="7">
        <f>IF(A21="","",ROUNDUP(D21/30*$D$3,0))</f>
        <v/>
      </c>
      <c r="H21" s="7">
        <f>IF(A21="","",G21+ROUNDUP(D21/30*F21,0))</f>
        <v/>
      </c>
      <c r="I21" s="7">
        <f>IF(A21="","",IF(C21&lt;=G21,"COMPRAR JÁ",IF(C21&lt;=H21,"Repor","OK")))</f>
        <v/>
      </c>
      <c r="J21" s="7">
        <f>IF(OR(A21="",I21="OK"),"",MAX(0,H21+D21-C21))</f>
        <v/>
      </c>
      <c r="K21" s="8">
        <f>IF(A21="","",D21*12*E21)</f>
        <v/>
      </c>
      <c r="L21" s="9">
        <f>IF(OR(A21="",$K$67=0),"",SUMIF($K$6:$K$65,"&gt;="&amp;K21)/$K$67)</f>
        <v/>
      </c>
      <c r="M21" s="7">
        <f>IF(L21="","",IF(L21&lt;=0.8,"A",IF(L21&lt;=0.95,"B","C")))</f>
        <v/>
      </c>
    </row>
    <row r="22">
      <c r="A22" s="4" t="n"/>
      <c r="B22" s="4" t="n"/>
      <c r="C22" s="4" t="n"/>
      <c r="D22" s="4" t="n"/>
      <c r="E22" s="6" t="n"/>
      <c r="F22" s="4" t="n"/>
      <c r="G22" s="7">
        <f>IF(A22="","",ROUNDUP(D22/30*$D$3,0))</f>
        <v/>
      </c>
      <c r="H22" s="7">
        <f>IF(A22="","",G22+ROUNDUP(D22/30*F22,0))</f>
        <v/>
      </c>
      <c r="I22" s="7">
        <f>IF(A22="","",IF(C22&lt;=G22,"COMPRAR JÁ",IF(C22&lt;=H22,"Repor","OK")))</f>
        <v/>
      </c>
      <c r="J22" s="7">
        <f>IF(OR(A22="",I22="OK"),"",MAX(0,H22+D22-C22))</f>
        <v/>
      </c>
      <c r="K22" s="8">
        <f>IF(A22="","",D22*12*E22)</f>
        <v/>
      </c>
      <c r="L22" s="9">
        <f>IF(OR(A22="",$K$67=0),"",SUMIF($K$6:$K$65,"&gt;="&amp;K22)/$K$67)</f>
        <v/>
      </c>
      <c r="M22" s="7">
        <f>IF(L22="","",IF(L22&lt;=0.8,"A",IF(L22&lt;=0.95,"B","C")))</f>
        <v/>
      </c>
    </row>
    <row r="23">
      <c r="A23" s="4" t="n"/>
      <c r="B23" s="4" t="n"/>
      <c r="C23" s="4" t="n"/>
      <c r="D23" s="4" t="n"/>
      <c r="E23" s="6" t="n"/>
      <c r="F23" s="4" t="n"/>
      <c r="G23" s="7">
        <f>IF(A23="","",ROUNDUP(D23/30*$D$3,0))</f>
        <v/>
      </c>
      <c r="H23" s="7">
        <f>IF(A23="","",G23+ROUNDUP(D23/30*F23,0))</f>
        <v/>
      </c>
      <c r="I23" s="7">
        <f>IF(A23="","",IF(C23&lt;=G23,"COMPRAR JÁ",IF(C23&lt;=H23,"Repor","OK")))</f>
        <v/>
      </c>
      <c r="J23" s="7">
        <f>IF(OR(A23="",I23="OK"),"",MAX(0,H23+D23-C23))</f>
        <v/>
      </c>
      <c r="K23" s="8">
        <f>IF(A23="","",D23*12*E23)</f>
        <v/>
      </c>
      <c r="L23" s="9">
        <f>IF(OR(A23="",$K$67=0),"",SUMIF($K$6:$K$65,"&gt;="&amp;K23)/$K$67)</f>
        <v/>
      </c>
      <c r="M23" s="7">
        <f>IF(L23="","",IF(L23&lt;=0.8,"A",IF(L23&lt;=0.95,"B","C")))</f>
        <v/>
      </c>
    </row>
    <row r="24">
      <c r="A24" s="4" t="n"/>
      <c r="B24" s="4" t="n"/>
      <c r="C24" s="4" t="n"/>
      <c r="D24" s="4" t="n"/>
      <c r="E24" s="6" t="n"/>
      <c r="F24" s="4" t="n"/>
      <c r="G24" s="7">
        <f>IF(A24="","",ROUNDUP(D24/30*$D$3,0))</f>
        <v/>
      </c>
      <c r="H24" s="7">
        <f>IF(A24="","",G24+ROUNDUP(D24/30*F24,0))</f>
        <v/>
      </c>
      <c r="I24" s="7">
        <f>IF(A24="","",IF(C24&lt;=G24,"COMPRAR JÁ",IF(C24&lt;=H24,"Repor","OK")))</f>
        <v/>
      </c>
      <c r="J24" s="7">
        <f>IF(OR(A24="",I24="OK"),"",MAX(0,H24+D24-C24))</f>
        <v/>
      </c>
      <c r="K24" s="8">
        <f>IF(A24="","",D24*12*E24)</f>
        <v/>
      </c>
      <c r="L24" s="9">
        <f>IF(OR(A24="",$K$67=0),"",SUMIF($K$6:$K$65,"&gt;="&amp;K24)/$K$67)</f>
        <v/>
      </c>
      <c r="M24" s="7">
        <f>IF(L24="","",IF(L24&lt;=0.8,"A",IF(L24&lt;=0.95,"B","C")))</f>
        <v/>
      </c>
    </row>
    <row r="25">
      <c r="A25" s="4" t="n"/>
      <c r="B25" s="4" t="n"/>
      <c r="C25" s="4" t="n"/>
      <c r="D25" s="4" t="n"/>
      <c r="E25" s="6" t="n"/>
      <c r="F25" s="4" t="n"/>
      <c r="G25" s="7">
        <f>IF(A25="","",ROUNDUP(D25/30*$D$3,0))</f>
        <v/>
      </c>
      <c r="H25" s="7">
        <f>IF(A25="","",G25+ROUNDUP(D25/30*F25,0))</f>
        <v/>
      </c>
      <c r="I25" s="7">
        <f>IF(A25="","",IF(C25&lt;=G25,"COMPRAR JÁ",IF(C25&lt;=H25,"Repor","OK")))</f>
        <v/>
      </c>
      <c r="J25" s="7">
        <f>IF(OR(A25="",I25="OK"),"",MAX(0,H25+D25-C25))</f>
        <v/>
      </c>
      <c r="K25" s="8">
        <f>IF(A25="","",D25*12*E25)</f>
        <v/>
      </c>
      <c r="L25" s="9">
        <f>IF(OR(A25="",$K$67=0),"",SUMIF($K$6:$K$65,"&gt;="&amp;K25)/$K$67)</f>
        <v/>
      </c>
      <c r="M25" s="7">
        <f>IF(L25="","",IF(L25&lt;=0.8,"A",IF(L25&lt;=0.95,"B","C")))</f>
        <v/>
      </c>
    </row>
    <row r="26">
      <c r="A26" s="4" t="n"/>
      <c r="B26" s="4" t="n"/>
      <c r="C26" s="4" t="n"/>
      <c r="D26" s="4" t="n"/>
      <c r="E26" s="6" t="n"/>
      <c r="F26" s="4" t="n"/>
      <c r="G26" s="7">
        <f>IF(A26="","",ROUNDUP(D26/30*$D$3,0))</f>
        <v/>
      </c>
      <c r="H26" s="7">
        <f>IF(A26="","",G26+ROUNDUP(D26/30*F26,0))</f>
        <v/>
      </c>
      <c r="I26" s="7">
        <f>IF(A26="","",IF(C26&lt;=G26,"COMPRAR JÁ",IF(C26&lt;=H26,"Repor","OK")))</f>
        <v/>
      </c>
      <c r="J26" s="7">
        <f>IF(OR(A26="",I26="OK"),"",MAX(0,H26+D26-C26))</f>
        <v/>
      </c>
      <c r="K26" s="8">
        <f>IF(A26="","",D26*12*E26)</f>
        <v/>
      </c>
      <c r="L26" s="9">
        <f>IF(OR(A26="",$K$67=0),"",SUMIF($K$6:$K$65,"&gt;="&amp;K26)/$K$67)</f>
        <v/>
      </c>
      <c r="M26" s="7">
        <f>IF(L26="","",IF(L26&lt;=0.8,"A",IF(L26&lt;=0.95,"B","C")))</f>
        <v/>
      </c>
    </row>
    <row r="27">
      <c r="A27" s="4" t="n"/>
      <c r="B27" s="4" t="n"/>
      <c r="C27" s="4" t="n"/>
      <c r="D27" s="4" t="n"/>
      <c r="E27" s="6" t="n"/>
      <c r="F27" s="4" t="n"/>
      <c r="G27" s="7">
        <f>IF(A27="","",ROUNDUP(D27/30*$D$3,0))</f>
        <v/>
      </c>
      <c r="H27" s="7">
        <f>IF(A27="","",G27+ROUNDUP(D27/30*F27,0))</f>
        <v/>
      </c>
      <c r="I27" s="7">
        <f>IF(A27="","",IF(C27&lt;=G27,"COMPRAR JÁ",IF(C27&lt;=H27,"Repor","OK")))</f>
        <v/>
      </c>
      <c r="J27" s="7">
        <f>IF(OR(A27="",I27="OK"),"",MAX(0,H27+D27-C27))</f>
        <v/>
      </c>
      <c r="K27" s="8">
        <f>IF(A27="","",D27*12*E27)</f>
        <v/>
      </c>
      <c r="L27" s="9">
        <f>IF(OR(A27="",$K$67=0),"",SUMIF($K$6:$K$65,"&gt;="&amp;K27)/$K$67)</f>
        <v/>
      </c>
      <c r="M27" s="7">
        <f>IF(L27="","",IF(L27&lt;=0.8,"A",IF(L27&lt;=0.95,"B","C")))</f>
        <v/>
      </c>
    </row>
    <row r="28">
      <c r="A28" s="4" t="n"/>
      <c r="B28" s="4" t="n"/>
      <c r="C28" s="4" t="n"/>
      <c r="D28" s="4" t="n"/>
      <c r="E28" s="6" t="n"/>
      <c r="F28" s="4" t="n"/>
      <c r="G28" s="7">
        <f>IF(A28="","",ROUNDUP(D28/30*$D$3,0))</f>
        <v/>
      </c>
      <c r="H28" s="7">
        <f>IF(A28="","",G28+ROUNDUP(D28/30*F28,0))</f>
        <v/>
      </c>
      <c r="I28" s="7">
        <f>IF(A28="","",IF(C28&lt;=G28,"COMPRAR JÁ",IF(C28&lt;=H28,"Repor","OK")))</f>
        <v/>
      </c>
      <c r="J28" s="7">
        <f>IF(OR(A28="",I28="OK"),"",MAX(0,H28+D28-C28))</f>
        <v/>
      </c>
      <c r="K28" s="8">
        <f>IF(A28="","",D28*12*E28)</f>
        <v/>
      </c>
      <c r="L28" s="9">
        <f>IF(OR(A28="",$K$67=0),"",SUMIF($K$6:$K$65,"&gt;="&amp;K28)/$K$67)</f>
        <v/>
      </c>
      <c r="M28" s="7">
        <f>IF(L28="","",IF(L28&lt;=0.8,"A",IF(L28&lt;=0.95,"B","C")))</f>
        <v/>
      </c>
    </row>
    <row r="29">
      <c r="A29" s="4" t="n"/>
      <c r="B29" s="4" t="n"/>
      <c r="C29" s="4" t="n"/>
      <c r="D29" s="4" t="n"/>
      <c r="E29" s="6" t="n"/>
      <c r="F29" s="4" t="n"/>
      <c r="G29" s="7">
        <f>IF(A29="","",ROUNDUP(D29/30*$D$3,0))</f>
        <v/>
      </c>
      <c r="H29" s="7">
        <f>IF(A29="","",G29+ROUNDUP(D29/30*F29,0))</f>
        <v/>
      </c>
      <c r="I29" s="7">
        <f>IF(A29="","",IF(C29&lt;=G29,"COMPRAR JÁ",IF(C29&lt;=H29,"Repor","OK")))</f>
        <v/>
      </c>
      <c r="J29" s="7">
        <f>IF(OR(A29="",I29="OK"),"",MAX(0,H29+D29-C29))</f>
        <v/>
      </c>
      <c r="K29" s="8">
        <f>IF(A29="","",D29*12*E29)</f>
        <v/>
      </c>
      <c r="L29" s="9">
        <f>IF(OR(A29="",$K$67=0),"",SUMIF($K$6:$K$65,"&gt;="&amp;K29)/$K$67)</f>
        <v/>
      </c>
      <c r="M29" s="7">
        <f>IF(L29="","",IF(L29&lt;=0.8,"A",IF(L29&lt;=0.95,"B","C")))</f>
        <v/>
      </c>
    </row>
    <row r="30">
      <c r="A30" s="4" t="n"/>
      <c r="B30" s="4" t="n"/>
      <c r="C30" s="4" t="n"/>
      <c r="D30" s="4" t="n"/>
      <c r="E30" s="6" t="n"/>
      <c r="F30" s="4" t="n"/>
      <c r="G30" s="7">
        <f>IF(A30="","",ROUNDUP(D30/30*$D$3,0))</f>
        <v/>
      </c>
      <c r="H30" s="7">
        <f>IF(A30="","",G30+ROUNDUP(D30/30*F30,0))</f>
        <v/>
      </c>
      <c r="I30" s="7">
        <f>IF(A30="","",IF(C30&lt;=G30,"COMPRAR JÁ",IF(C30&lt;=H30,"Repor","OK")))</f>
        <v/>
      </c>
      <c r="J30" s="7">
        <f>IF(OR(A30="",I30="OK"),"",MAX(0,H30+D30-C30))</f>
        <v/>
      </c>
      <c r="K30" s="8">
        <f>IF(A30="","",D30*12*E30)</f>
        <v/>
      </c>
      <c r="L30" s="9">
        <f>IF(OR(A30="",$K$67=0),"",SUMIF($K$6:$K$65,"&gt;="&amp;K30)/$K$67)</f>
        <v/>
      </c>
      <c r="M30" s="7">
        <f>IF(L30="","",IF(L30&lt;=0.8,"A",IF(L30&lt;=0.95,"B","C")))</f>
        <v/>
      </c>
    </row>
    <row r="31">
      <c r="A31" s="4" t="n"/>
      <c r="B31" s="4" t="n"/>
      <c r="C31" s="4" t="n"/>
      <c r="D31" s="4" t="n"/>
      <c r="E31" s="6" t="n"/>
      <c r="F31" s="4" t="n"/>
      <c r="G31" s="7">
        <f>IF(A31="","",ROUNDUP(D31/30*$D$3,0))</f>
        <v/>
      </c>
      <c r="H31" s="7">
        <f>IF(A31="","",G31+ROUNDUP(D31/30*F31,0))</f>
        <v/>
      </c>
      <c r="I31" s="7">
        <f>IF(A31="","",IF(C31&lt;=G31,"COMPRAR JÁ",IF(C31&lt;=H31,"Repor","OK")))</f>
        <v/>
      </c>
      <c r="J31" s="7">
        <f>IF(OR(A31="",I31="OK"),"",MAX(0,H31+D31-C31))</f>
        <v/>
      </c>
      <c r="K31" s="8">
        <f>IF(A31="","",D31*12*E31)</f>
        <v/>
      </c>
      <c r="L31" s="9">
        <f>IF(OR(A31="",$K$67=0),"",SUMIF($K$6:$K$65,"&gt;="&amp;K31)/$K$67)</f>
        <v/>
      </c>
      <c r="M31" s="7">
        <f>IF(L31="","",IF(L31&lt;=0.8,"A",IF(L31&lt;=0.95,"B","C")))</f>
        <v/>
      </c>
    </row>
    <row r="32">
      <c r="A32" s="4" t="n"/>
      <c r="B32" s="4" t="n"/>
      <c r="C32" s="4" t="n"/>
      <c r="D32" s="4" t="n"/>
      <c r="E32" s="6" t="n"/>
      <c r="F32" s="4" t="n"/>
      <c r="G32" s="7">
        <f>IF(A32="","",ROUNDUP(D32/30*$D$3,0))</f>
        <v/>
      </c>
      <c r="H32" s="7">
        <f>IF(A32="","",G32+ROUNDUP(D32/30*F32,0))</f>
        <v/>
      </c>
      <c r="I32" s="7">
        <f>IF(A32="","",IF(C32&lt;=G32,"COMPRAR JÁ",IF(C32&lt;=H32,"Repor","OK")))</f>
        <v/>
      </c>
      <c r="J32" s="7">
        <f>IF(OR(A32="",I32="OK"),"",MAX(0,H32+D32-C32))</f>
        <v/>
      </c>
      <c r="K32" s="8">
        <f>IF(A32="","",D32*12*E32)</f>
        <v/>
      </c>
      <c r="L32" s="9">
        <f>IF(OR(A32="",$K$67=0),"",SUMIF($K$6:$K$65,"&gt;="&amp;K32)/$K$67)</f>
        <v/>
      </c>
      <c r="M32" s="7">
        <f>IF(L32="","",IF(L32&lt;=0.8,"A",IF(L32&lt;=0.95,"B","C")))</f>
        <v/>
      </c>
    </row>
    <row r="33">
      <c r="A33" s="4" t="n"/>
      <c r="B33" s="4" t="n"/>
      <c r="C33" s="4" t="n"/>
      <c r="D33" s="4" t="n"/>
      <c r="E33" s="6" t="n"/>
      <c r="F33" s="4" t="n"/>
      <c r="G33" s="7">
        <f>IF(A33="","",ROUNDUP(D33/30*$D$3,0))</f>
        <v/>
      </c>
      <c r="H33" s="7">
        <f>IF(A33="","",G33+ROUNDUP(D33/30*F33,0))</f>
        <v/>
      </c>
      <c r="I33" s="7">
        <f>IF(A33="","",IF(C33&lt;=G33,"COMPRAR JÁ",IF(C33&lt;=H33,"Repor","OK")))</f>
        <v/>
      </c>
      <c r="J33" s="7">
        <f>IF(OR(A33="",I33="OK"),"",MAX(0,H33+D33-C33))</f>
        <v/>
      </c>
      <c r="K33" s="8">
        <f>IF(A33="","",D33*12*E33)</f>
        <v/>
      </c>
      <c r="L33" s="9">
        <f>IF(OR(A33="",$K$67=0),"",SUMIF($K$6:$K$65,"&gt;="&amp;K33)/$K$67)</f>
        <v/>
      </c>
      <c r="M33" s="7">
        <f>IF(L33="","",IF(L33&lt;=0.8,"A",IF(L33&lt;=0.95,"B","C")))</f>
        <v/>
      </c>
    </row>
    <row r="34">
      <c r="A34" s="4" t="n"/>
      <c r="B34" s="4" t="n"/>
      <c r="C34" s="4" t="n"/>
      <c r="D34" s="4" t="n"/>
      <c r="E34" s="6" t="n"/>
      <c r="F34" s="4" t="n"/>
      <c r="G34" s="7">
        <f>IF(A34="","",ROUNDUP(D34/30*$D$3,0))</f>
        <v/>
      </c>
      <c r="H34" s="7">
        <f>IF(A34="","",G34+ROUNDUP(D34/30*F34,0))</f>
        <v/>
      </c>
      <c r="I34" s="7">
        <f>IF(A34="","",IF(C34&lt;=G34,"COMPRAR JÁ",IF(C34&lt;=H34,"Repor","OK")))</f>
        <v/>
      </c>
      <c r="J34" s="7">
        <f>IF(OR(A34="",I34="OK"),"",MAX(0,H34+D34-C34))</f>
        <v/>
      </c>
      <c r="K34" s="8">
        <f>IF(A34="","",D34*12*E34)</f>
        <v/>
      </c>
      <c r="L34" s="9">
        <f>IF(OR(A34="",$K$67=0),"",SUMIF($K$6:$K$65,"&gt;="&amp;K34)/$K$67)</f>
        <v/>
      </c>
      <c r="M34" s="7">
        <f>IF(L34="","",IF(L34&lt;=0.8,"A",IF(L34&lt;=0.95,"B","C")))</f>
        <v/>
      </c>
    </row>
    <row r="35">
      <c r="A35" s="4" t="n"/>
      <c r="B35" s="4" t="n"/>
      <c r="C35" s="4" t="n"/>
      <c r="D35" s="4" t="n"/>
      <c r="E35" s="6" t="n"/>
      <c r="F35" s="4" t="n"/>
      <c r="G35" s="7">
        <f>IF(A35="","",ROUNDUP(D35/30*$D$3,0))</f>
        <v/>
      </c>
      <c r="H35" s="7">
        <f>IF(A35="","",G35+ROUNDUP(D35/30*F35,0))</f>
        <v/>
      </c>
      <c r="I35" s="7">
        <f>IF(A35="","",IF(C35&lt;=G35,"COMPRAR JÁ",IF(C35&lt;=H35,"Repor","OK")))</f>
        <v/>
      </c>
      <c r="J35" s="7">
        <f>IF(OR(A35="",I35="OK"),"",MAX(0,H35+D35-C35))</f>
        <v/>
      </c>
      <c r="K35" s="8">
        <f>IF(A35="","",D35*12*E35)</f>
        <v/>
      </c>
      <c r="L35" s="9">
        <f>IF(OR(A35="",$K$67=0),"",SUMIF($K$6:$K$65,"&gt;="&amp;K35)/$K$67)</f>
        <v/>
      </c>
      <c r="M35" s="7">
        <f>IF(L35="","",IF(L35&lt;=0.8,"A",IF(L35&lt;=0.95,"B","C")))</f>
        <v/>
      </c>
    </row>
    <row r="36">
      <c r="A36" s="4" t="n"/>
      <c r="B36" s="4" t="n"/>
      <c r="C36" s="4" t="n"/>
      <c r="D36" s="4" t="n"/>
      <c r="E36" s="6" t="n"/>
      <c r="F36" s="4" t="n"/>
      <c r="G36" s="7">
        <f>IF(A36="","",ROUNDUP(D36/30*$D$3,0))</f>
        <v/>
      </c>
      <c r="H36" s="7">
        <f>IF(A36="","",G36+ROUNDUP(D36/30*F36,0))</f>
        <v/>
      </c>
      <c r="I36" s="7">
        <f>IF(A36="","",IF(C36&lt;=G36,"COMPRAR JÁ",IF(C36&lt;=H36,"Repor","OK")))</f>
        <v/>
      </c>
      <c r="J36" s="7">
        <f>IF(OR(A36="",I36="OK"),"",MAX(0,H36+D36-C36))</f>
        <v/>
      </c>
      <c r="K36" s="8">
        <f>IF(A36="","",D36*12*E36)</f>
        <v/>
      </c>
      <c r="L36" s="9">
        <f>IF(OR(A36="",$K$67=0),"",SUMIF($K$6:$K$65,"&gt;="&amp;K36)/$K$67)</f>
        <v/>
      </c>
      <c r="M36" s="7">
        <f>IF(L36="","",IF(L36&lt;=0.8,"A",IF(L36&lt;=0.95,"B","C")))</f>
        <v/>
      </c>
    </row>
    <row r="37">
      <c r="A37" s="4" t="n"/>
      <c r="B37" s="4" t="n"/>
      <c r="C37" s="4" t="n"/>
      <c r="D37" s="4" t="n"/>
      <c r="E37" s="6" t="n"/>
      <c r="F37" s="4" t="n"/>
      <c r="G37" s="7">
        <f>IF(A37="","",ROUNDUP(D37/30*$D$3,0))</f>
        <v/>
      </c>
      <c r="H37" s="7">
        <f>IF(A37="","",G37+ROUNDUP(D37/30*F37,0))</f>
        <v/>
      </c>
      <c r="I37" s="7">
        <f>IF(A37="","",IF(C37&lt;=G37,"COMPRAR JÁ",IF(C37&lt;=H37,"Repor","OK")))</f>
        <v/>
      </c>
      <c r="J37" s="7">
        <f>IF(OR(A37="",I37="OK"),"",MAX(0,H37+D37-C37))</f>
        <v/>
      </c>
      <c r="K37" s="8">
        <f>IF(A37="","",D37*12*E37)</f>
        <v/>
      </c>
      <c r="L37" s="9">
        <f>IF(OR(A37="",$K$67=0),"",SUMIF($K$6:$K$65,"&gt;="&amp;K37)/$K$67)</f>
        <v/>
      </c>
      <c r="M37" s="7">
        <f>IF(L37="","",IF(L37&lt;=0.8,"A",IF(L37&lt;=0.95,"B","C")))</f>
        <v/>
      </c>
    </row>
    <row r="38">
      <c r="A38" s="4" t="n"/>
      <c r="B38" s="4" t="n"/>
      <c r="C38" s="4" t="n"/>
      <c r="D38" s="4" t="n"/>
      <c r="E38" s="6" t="n"/>
      <c r="F38" s="4" t="n"/>
      <c r="G38" s="7">
        <f>IF(A38="","",ROUNDUP(D38/30*$D$3,0))</f>
        <v/>
      </c>
      <c r="H38" s="7">
        <f>IF(A38="","",G38+ROUNDUP(D38/30*F38,0))</f>
        <v/>
      </c>
      <c r="I38" s="7">
        <f>IF(A38="","",IF(C38&lt;=G38,"COMPRAR JÁ",IF(C38&lt;=H38,"Repor","OK")))</f>
        <v/>
      </c>
      <c r="J38" s="7">
        <f>IF(OR(A38="",I38="OK"),"",MAX(0,H38+D38-C38))</f>
        <v/>
      </c>
      <c r="K38" s="8">
        <f>IF(A38="","",D38*12*E38)</f>
        <v/>
      </c>
      <c r="L38" s="9">
        <f>IF(OR(A38="",$K$67=0),"",SUMIF($K$6:$K$65,"&gt;="&amp;K38)/$K$67)</f>
        <v/>
      </c>
      <c r="M38" s="7">
        <f>IF(L38="","",IF(L38&lt;=0.8,"A",IF(L38&lt;=0.95,"B","C")))</f>
        <v/>
      </c>
    </row>
    <row r="39">
      <c r="A39" s="4" t="n"/>
      <c r="B39" s="4" t="n"/>
      <c r="C39" s="4" t="n"/>
      <c r="D39" s="4" t="n"/>
      <c r="E39" s="6" t="n"/>
      <c r="F39" s="4" t="n"/>
      <c r="G39" s="7">
        <f>IF(A39="","",ROUNDUP(D39/30*$D$3,0))</f>
        <v/>
      </c>
      <c r="H39" s="7">
        <f>IF(A39="","",G39+ROUNDUP(D39/30*F39,0))</f>
        <v/>
      </c>
      <c r="I39" s="7">
        <f>IF(A39="","",IF(C39&lt;=G39,"COMPRAR JÁ",IF(C39&lt;=H39,"Repor","OK")))</f>
        <v/>
      </c>
      <c r="J39" s="7">
        <f>IF(OR(A39="",I39="OK"),"",MAX(0,H39+D39-C39))</f>
        <v/>
      </c>
      <c r="K39" s="8">
        <f>IF(A39="","",D39*12*E39)</f>
        <v/>
      </c>
      <c r="L39" s="9">
        <f>IF(OR(A39="",$K$67=0),"",SUMIF($K$6:$K$65,"&gt;="&amp;K39)/$K$67)</f>
        <v/>
      </c>
      <c r="M39" s="7">
        <f>IF(L39="","",IF(L39&lt;=0.8,"A",IF(L39&lt;=0.95,"B","C")))</f>
        <v/>
      </c>
    </row>
    <row r="40">
      <c r="A40" s="4" t="n"/>
      <c r="B40" s="4" t="n"/>
      <c r="C40" s="4" t="n"/>
      <c r="D40" s="4" t="n"/>
      <c r="E40" s="6" t="n"/>
      <c r="F40" s="4" t="n"/>
      <c r="G40" s="7">
        <f>IF(A40="","",ROUNDUP(D40/30*$D$3,0))</f>
        <v/>
      </c>
      <c r="H40" s="7">
        <f>IF(A40="","",G40+ROUNDUP(D40/30*F40,0))</f>
        <v/>
      </c>
      <c r="I40" s="7">
        <f>IF(A40="","",IF(C40&lt;=G40,"COMPRAR JÁ",IF(C40&lt;=H40,"Repor","OK")))</f>
        <v/>
      </c>
      <c r="J40" s="7">
        <f>IF(OR(A40="",I40="OK"),"",MAX(0,H40+D40-C40))</f>
        <v/>
      </c>
      <c r="K40" s="8">
        <f>IF(A40="","",D40*12*E40)</f>
        <v/>
      </c>
      <c r="L40" s="9">
        <f>IF(OR(A40="",$K$67=0),"",SUMIF($K$6:$K$65,"&gt;="&amp;K40)/$K$67)</f>
        <v/>
      </c>
      <c r="M40" s="7">
        <f>IF(L40="","",IF(L40&lt;=0.8,"A",IF(L40&lt;=0.95,"B","C")))</f>
        <v/>
      </c>
    </row>
    <row r="41">
      <c r="A41" s="4" t="n"/>
      <c r="B41" s="4" t="n"/>
      <c r="C41" s="4" t="n"/>
      <c r="D41" s="4" t="n"/>
      <c r="E41" s="6" t="n"/>
      <c r="F41" s="4" t="n"/>
      <c r="G41" s="7">
        <f>IF(A41="","",ROUNDUP(D41/30*$D$3,0))</f>
        <v/>
      </c>
      <c r="H41" s="7">
        <f>IF(A41="","",G41+ROUNDUP(D41/30*F41,0))</f>
        <v/>
      </c>
      <c r="I41" s="7">
        <f>IF(A41="","",IF(C41&lt;=G41,"COMPRAR JÁ",IF(C41&lt;=H41,"Repor","OK")))</f>
        <v/>
      </c>
      <c r="J41" s="7">
        <f>IF(OR(A41="",I41="OK"),"",MAX(0,H41+D41-C41))</f>
        <v/>
      </c>
      <c r="K41" s="8">
        <f>IF(A41="","",D41*12*E41)</f>
        <v/>
      </c>
      <c r="L41" s="9">
        <f>IF(OR(A41="",$K$67=0),"",SUMIF($K$6:$K$65,"&gt;="&amp;K41)/$K$67)</f>
        <v/>
      </c>
      <c r="M41" s="7">
        <f>IF(L41="","",IF(L41&lt;=0.8,"A",IF(L41&lt;=0.95,"B","C")))</f>
        <v/>
      </c>
    </row>
    <row r="42">
      <c r="A42" s="4" t="n"/>
      <c r="B42" s="4" t="n"/>
      <c r="C42" s="4" t="n"/>
      <c r="D42" s="4" t="n"/>
      <c r="E42" s="6" t="n"/>
      <c r="F42" s="4" t="n"/>
      <c r="G42" s="7">
        <f>IF(A42="","",ROUNDUP(D42/30*$D$3,0))</f>
        <v/>
      </c>
      <c r="H42" s="7">
        <f>IF(A42="","",G42+ROUNDUP(D42/30*F42,0))</f>
        <v/>
      </c>
      <c r="I42" s="7">
        <f>IF(A42="","",IF(C42&lt;=G42,"COMPRAR JÁ",IF(C42&lt;=H42,"Repor","OK")))</f>
        <v/>
      </c>
      <c r="J42" s="7">
        <f>IF(OR(A42="",I42="OK"),"",MAX(0,H42+D42-C42))</f>
        <v/>
      </c>
      <c r="K42" s="8">
        <f>IF(A42="","",D42*12*E42)</f>
        <v/>
      </c>
      <c r="L42" s="9">
        <f>IF(OR(A42="",$K$67=0),"",SUMIF($K$6:$K$65,"&gt;="&amp;K42)/$K$67)</f>
        <v/>
      </c>
      <c r="M42" s="7">
        <f>IF(L42="","",IF(L42&lt;=0.8,"A",IF(L42&lt;=0.95,"B","C")))</f>
        <v/>
      </c>
    </row>
    <row r="43">
      <c r="A43" s="4" t="n"/>
      <c r="B43" s="4" t="n"/>
      <c r="C43" s="4" t="n"/>
      <c r="D43" s="4" t="n"/>
      <c r="E43" s="6" t="n"/>
      <c r="F43" s="4" t="n"/>
      <c r="G43" s="7">
        <f>IF(A43="","",ROUNDUP(D43/30*$D$3,0))</f>
        <v/>
      </c>
      <c r="H43" s="7">
        <f>IF(A43="","",G43+ROUNDUP(D43/30*F43,0))</f>
        <v/>
      </c>
      <c r="I43" s="7">
        <f>IF(A43="","",IF(C43&lt;=G43,"COMPRAR JÁ",IF(C43&lt;=H43,"Repor","OK")))</f>
        <v/>
      </c>
      <c r="J43" s="7">
        <f>IF(OR(A43="",I43="OK"),"",MAX(0,H43+D43-C43))</f>
        <v/>
      </c>
      <c r="K43" s="8">
        <f>IF(A43="","",D43*12*E43)</f>
        <v/>
      </c>
      <c r="L43" s="9">
        <f>IF(OR(A43="",$K$67=0),"",SUMIF($K$6:$K$65,"&gt;="&amp;K43)/$K$67)</f>
        <v/>
      </c>
      <c r="M43" s="7">
        <f>IF(L43="","",IF(L43&lt;=0.8,"A",IF(L43&lt;=0.95,"B","C")))</f>
        <v/>
      </c>
    </row>
    <row r="44">
      <c r="A44" s="4" t="n"/>
      <c r="B44" s="4" t="n"/>
      <c r="C44" s="4" t="n"/>
      <c r="D44" s="4" t="n"/>
      <c r="E44" s="6" t="n"/>
      <c r="F44" s="4" t="n"/>
      <c r="G44" s="7">
        <f>IF(A44="","",ROUNDUP(D44/30*$D$3,0))</f>
        <v/>
      </c>
      <c r="H44" s="7">
        <f>IF(A44="","",G44+ROUNDUP(D44/30*F44,0))</f>
        <v/>
      </c>
      <c r="I44" s="7">
        <f>IF(A44="","",IF(C44&lt;=G44,"COMPRAR JÁ",IF(C44&lt;=H44,"Repor","OK")))</f>
        <v/>
      </c>
      <c r="J44" s="7">
        <f>IF(OR(A44="",I44="OK"),"",MAX(0,H44+D44-C44))</f>
        <v/>
      </c>
      <c r="K44" s="8">
        <f>IF(A44="","",D44*12*E44)</f>
        <v/>
      </c>
      <c r="L44" s="9">
        <f>IF(OR(A44="",$K$67=0),"",SUMIF($K$6:$K$65,"&gt;="&amp;K44)/$K$67)</f>
        <v/>
      </c>
      <c r="M44" s="7">
        <f>IF(L44="","",IF(L44&lt;=0.8,"A",IF(L44&lt;=0.95,"B","C")))</f>
        <v/>
      </c>
    </row>
    <row r="45">
      <c r="A45" s="4" t="n"/>
      <c r="B45" s="4" t="n"/>
      <c r="C45" s="4" t="n"/>
      <c r="D45" s="4" t="n"/>
      <c r="E45" s="6" t="n"/>
      <c r="F45" s="4" t="n"/>
      <c r="G45" s="7">
        <f>IF(A45="","",ROUNDUP(D45/30*$D$3,0))</f>
        <v/>
      </c>
      <c r="H45" s="7">
        <f>IF(A45="","",G45+ROUNDUP(D45/30*F45,0))</f>
        <v/>
      </c>
      <c r="I45" s="7">
        <f>IF(A45="","",IF(C45&lt;=G45,"COMPRAR JÁ",IF(C45&lt;=H45,"Repor","OK")))</f>
        <v/>
      </c>
      <c r="J45" s="7">
        <f>IF(OR(A45="",I45="OK"),"",MAX(0,H45+D45-C45))</f>
        <v/>
      </c>
      <c r="K45" s="8">
        <f>IF(A45="","",D45*12*E45)</f>
        <v/>
      </c>
      <c r="L45" s="9">
        <f>IF(OR(A45="",$K$67=0),"",SUMIF($K$6:$K$65,"&gt;="&amp;K45)/$K$67)</f>
        <v/>
      </c>
      <c r="M45" s="7">
        <f>IF(L45="","",IF(L45&lt;=0.8,"A",IF(L45&lt;=0.95,"B","C")))</f>
        <v/>
      </c>
    </row>
    <row r="46">
      <c r="A46" s="4" t="n"/>
      <c r="B46" s="4" t="n"/>
      <c r="C46" s="4" t="n"/>
      <c r="D46" s="4" t="n"/>
      <c r="E46" s="6" t="n"/>
      <c r="F46" s="4" t="n"/>
      <c r="G46" s="7">
        <f>IF(A46="","",ROUNDUP(D46/30*$D$3,0))</f>
        <v/>
      </c>
      <c r="H46" s="7">
        <f>IF(A46="","",G46+ROUNDUP(D46/30*F46,0))</f>
        <v/>
      </c>
      <c r="I46" s="7">
        <f>IF(A46="","",IF(C46&lt;=G46,"COMPRAR JÁ",IF(C46&lt;=H46,"Repor","OK")))</f>
        <v/>
      </c>
      <c r="J46" s="7">
        <f>IF(OR(A46="",I46="OK"),"",MAX(0,H46+D46-C46))</f>
        <v/>
      </c>
      <c r="K46" s="8">
        <f>IF(A46="","",D46*12*E46)</f>
        <v/>
      </c>
      <c r="L46" s="9">
        <f>IF(OR(A46="",$K$67=0),"",SUMIF($K$6:$K$65,"&gt;="&amp;K46)/$K$67)</f>
        <v/>
      </c>
      <c r="M46" s="7">
        <f>IF(L46="","",IF(L46&lt;=0.8,"A",IF(L46&lt;=0.95,"B","C")))</f>
        <v/>
      </c>
    </row>
    <row r="47">
      <c r="A47" s="4" t="n"/>
      <c r="B47" s="4" t="n"/>
      <c r="C47" s="4" t="n"/>
      <c r="D47" s="4" t="n"/>
      <c r="E47" s="6" t="n"/>
      <c r="F47" s="4" t="n"/>
      <c r="G47" s="7">
        <f>IF(A47="","",ROUNDUP(D47/30*$D$3,0))</f>
        <v/>
      </c>
      <c r="H47" s="7">
        <f>IF(A47="","",G47+ROUNDUP(D47/30*F47,0))</f>
        <v/>
      </c>
      <c r="I47" s="7">
        <f>IF(A47="","",IF(C47&lt;=G47,"COMPRAR JÁ",IF(C47&lt;=H47,"Repor","OK")))</f>
        <v/>
      </c>
      <c r="J47" s="7">
        <f>IF(OR(A47="",I47="OK"),"",MAX(0,H47+D47-C47))</f>
        <v/>
      </c>
      <c r="K47" s="8">
        <f>IF(A47="","",D47*12*E47)</f>
        <v/>
      </c>
      <c r="L47" s="9">
        <f>IF(OR(A47="",$K$67=0),"",SUMIF($K$6:$K$65,"&gt;="&amp;K47)/$K$67)</f>
        <v/>
      </c>
      <c r="M47" s="7">
        <f>IF(L47="","",IF(L47&lt;=0.8,"A",IF(L47&lt;=0.95,"B","C")))</f>
        <v/>
      </c>
    </row>
    <row r="48">
      <c r="A48" s="4" t="n"/>
      <c r="B48" s="4" t="n"/>
      <c r="C48" s="4" t="n"/>
      <c r="D48" s="4" t="n"/>
      <c r="E48" s="6" t="n"/>
      <c r="F48" s="4" t="n"/>
      <c r="G48" s="7">
        <f>IF(A48="","",ROUNDUP(D48/30*$D$3,0))</f>
        <v/>
      </c>
      <c r="H48" s="7">
        <f>IF(A48="","",G48+ROUNDUP(D48/30*F48,0))</f>
        <v/>
      </c>
      <c r="I48" s="7">
        <f>IF(A48="","",IF(C48&lt;=G48,"COMPRAR JÁ",IF(C48&lt;=H48,"Repor","OK")))</f>
        <v/>
      </c>
      <c r="J48" s="7">
        <f>IF(OR(A48="",I48="OK"),"",MAX(0,H48+D48-C48))</f>
        <v/>
      </c>
      <c r="K48" s="8">
        <f>IF(A48="","",D48*12*E48)</f>
        <v/>
      </c>
      <c r="L48" s="9">
        <f>IF(OR(A48="",$K$67=0),"",SUMIF($K$6:$K$65,"&gt;="&amp;K48)/$K$67)</f>
        <v/>
      </c>
      <c r="M48" s="7">
        <f>IF(L48="","",IF(L48&lt;=0.8,"A",IF(L48&lt;=0.95,"B","C")))</f>
        <v/>
      </c>
    </row>
    <row r="49">
      <c r="A49" s="4" t="n"/>
      <c r="B49" s="4" t="n"/>
      <c r="C49" s="4" t="n"/>
      <c r="D49" s="4" t="n"/>
      <c r="E49" s="6" t="n"/>
      <c r="F49" s="4" t="n"/>
      <c r="G49" s="7">
        <f>IF(A49="","",ROUNDUP(D49/30*$D$3,0))</f>
        <v/>
      </c>
      <c r="H49" s="7">
        <f>IF(A49="","",G49+ROUNDUP(D49/30*F49,0))</f>
        <v/>
      </c>
      <c r="I49" s="7">
        <f>IF(A49="","",IF(C49&lt;=G49,"COMPRAR JÁ",IF(C49&lt;=H49,"Repor","OK")))</f>
        <v/>
      </c>
      <c r="J49" s="7">
        <f>IF(OR(A49="",I49="OK"),"",MAX(0,H49+D49-C49))</f>
        <v/>
      </c>
      <c r="K49" s="8">
        <f>IF(A49="","",D49*12*E49)</f>
        <v/>
      </c>
      <c r="L49" s="9">
        <f>IF(OR(A49="",$K$67=0),"",SUMIF($K$6:$K$65,"&gt;="&amp;K49)/$K$67)</f>
        <v/>
      </c>
      <c r="M49" s="7">
        <f>IF(L49="","",IF(L49&lt;=0.8,"A",IF(L49&lt;=0.95,"B","C")))</f>
        <v/>
      </c>
    </row>
    <row r="50">
      <c r="A50" s="4" t="n"/>
      <c r="B50" s="4" t="n"/>
      <c r="C50" s="4" t="n"/>
      <c r="D50" s="4" t="n"/>
      <c r="E50" s="6" t="n"/>
      <c r="F50" s="4" t="n"/>
      <c r="G50" s="7">
        <f>IF(A50="","",ROUNDUP(D50/30*$D$3,0))</f>
        <v/>
      </c>
      <c r="H50" s="7">
        <f>IF(A50="","",G50+ROUNDUP(D50/30*F50,0))</f>
        <v/>
      </c>
      <c r="I50" s="7">
        <f>IF(A50="","",IF(C50&lt;=G50,"COMPRAR JÁ",IF(C50&lt;=H50,"Repor","OK")))</f>
        <v/>
      </c>
      <c r="J50" s="7">
        <f>IF(OR(A50="",I50="OK"),"",MAX(0,H50+D50-C50))</f>
        <v/>
      </c>
      <c r="K50" s="8">
        <f>IF(A50="","",D50*12*E50)</f>
        <v/>
      </c>
      <c r="L50" s="9">
        <f>IF(OR(A50="",$K$67=0),"",SUMIF($K$6:$K$65,"&gt;="&amp;K50)/$K$67)</f>
        <v/>
      </c>
      <c r="M50" s="7">
        <f>IF(L50="","",IF(L50&lt;=0.8,"A",IF(L50&lt;=0.95,"B","C")))</f>
        <v/>
      </c>
    </row>
    <row r="51">
      <c r="A51" s="4" t="n"/>
      <c r="B51" s="4" t="n"/>
      <c r="C51" s="4" t="n"/>
      <c r="D51" s="4" t="n"/>
      <c r="E51" s="6" t="n"/>
      <c r="F51" s="4" t="n"/>
      <c r="G51" s="7">
        <f>IF(A51="","",ROUNDUP(D51/30*$D$3,0))</f>
        <v/>
      </c>
      <c r="H51" s="7">
        <f>IF(A51="","",G51+ROUNDUP(D51/30*F51,0))</f>
        <v/>
      </c>
      <c r="I51" s="7">
        <f>IF(A51="","",IF(C51&lt;=G51,"COMPRAR JÁ",IF(C51&lt;=H51,"Repor","OK")))</f>
        <v/>
      </c>
      <c r="J51" s="7">
        <f>IF(OR(A51="",I51="OK"),"",MAX(0,H51+D51-C51))</f>
        <v/>
      </c>
      <c r="K51" s="8">
        <f>IF(A51="","",D51*12*E51)</f>
        <v/>
      </c>
      <c r="L51" s="9">
        <f>IF(OR(A51="",$K$67=0),"",SUMIF($K$6:$K$65,"&gt;="&amp;K51)/$K$67)</f>
        <v/>
      </c>
      <c r="M51" s="7">
        <f>IF(L51="","",IF(L51&lt;=0.8,"A",IF(L51&lt;=0.95,"B","C")))</f>
        <v/>
      </c>
    </row>
    <row r="52">
      <c r="A52" s="4" t="n"/>
      <c r="B52" s="4" t="n"/>
      <c r="C52" s="4" t="n"/>
      <c r="D52" s="4" t="n"/>
      <c r="E52" s="6" t="n"/>
      <c r="F52" s="4" t="n"/>
      <c r="G52" s="7">
        <f>IF(A52="","",ROUNDUP(D52/30*$D$3,0))</f>
        <v/>
      </c>
      <c r="H52" s="7">
        <f>IF(A52="","",G52+ROUNDUP(D52/30*F52,0))</f>
        <v/>
      </c>
      <c r="I52" s="7">
        <f>IF(A52="","",IF(C52&lt;=G52,"COMPRAR JÁ",IF(C52&lt;=H52,"Repor","OK")))</f>
        <v/>
      </c>
      <c r="J52" s="7">
        <f>IF(OR(A52="",I52="OK"),"",MAX(0,H52+D52-C52))</f>
        <v/>
      </c>
      <c r="K52" s="8">
        <f>IF(A52="","",D52*12*E52)</f>
        <v/>
      </c>
      <c r="L52" s="9">
        <f>IF(OR(A52="",$K$67=0),"",SUMIF($K$6:$K$65,"&gt;="&amp;K52)/$K$67)</f>
        <v/>
      </c>
      <c r="M52" s="7">
        <f>IF(L52="","",IF(L52&lt;=0.8,"A",IF(L52&lt;=0.95,"B","C")))</f>
        <v/>
      </c>
    </row>
    <row r="53">
      <c r="A53" s="4" t="n"/>
      <c r="B53" s="4" t="n"/>
      <c r="C53" s="4" t="n"/>
      <c r="D53" s="4" t="n"/>
      <c r="E53" s="6" t="n"/>
      <c r="F53" s="4" t="n"/>
      <c r="G53" s="7">
        <f>IF(A53="","",ROUNDUP(D53/30*$D$3,0))</f>
        <v/>
      </c>
      <c r="H53" s="7">
        <f>IF(A53="","",G53+ROUNDUP(D53/30*F53,0))</f>
        <v/>
      </c>
      <c r="I53" s="7">
        <f>IF(A53="","",IF(C53&lt;=G53,"COMPRAR JÁ",IF(C53&lt;=H53,"Repor","OK")))</f>
        <v/>
      </c>
      <c r="J53" s="7">
        <f>IF(OR(A53="",I53="OK"),"",MAX(0,H53+D53-C53))</f>
        <v/>
      </c>
      <c r="K53" s="8">
        <f>IF(A53="","",D53*12*E53)</f>
        <v/>
      </c>
      <c r="L53" s="9">
        <f>IF(OR(A53="",$K$67=0),"",SUMIF($K$6:$K$65,"&gt;="&amp;K53)/$K$67)</f>
        <v/>
      </c>
      <c r="M53" s="7">
        <f>IF(L53="","",IF(L53&lt;=0.8,"A",IF(L53&lt;=0.95,"B","C")))</f>
        <v/>
      </c>
    </row>
    <row r="54">
      <c r="A54" s="4" t="n"/>
      <c r="B54" s="4" t="n"/>
      <c r="C54" s="4" t="n"/>
      <c r="D54" s="4" t="n"/>
      <c r="E54" s="6" t="n"/>
      <c r="F54" s="4" t="n"/>
      <c r="G54" s="7">
        <f>IF(A54="","",ROUNDUP(D54/30*$D$3,0))</f>
        <v/>
      </c>
      <c r="H54" s="7">
        <f>IF(A54="","",G54+ROUNDUP(D54/30*F54,0))</f>
        <v/>
      </c>
      <c r="I54" s="7">
        <f>IF(A54="","",IF(C54&lt;=G54,"COMPRAR JÁ",IF(C54&lt;=H54,"Repor","OK")))</f>
        <v/>
      </c>
      <c r="J54" s="7">
        <f>IF(OR(A54="",I54="OK"),"",MAX(0,H54+D54-C54))</f>
        <v/>
      </c>
      <c r="K54" s="8">
        <f>IF(A54="","",D54*12*E54)</f>
        <v/>
      </c>
      <c r="L54" s="9">
        <f>IF(OR(A54="",$K$67=0),"",SUMIF($K$6:$K$65,"&gt;="&amp;K54)/$K$67)</f>
        <v/>
      </c>
      <c r="M54" s="7">
        <f>IF(L54="","",IF(L54&lt;=0.8,"A",IF(L54&lt;=0.95,"B","C")))</f>
        <v/>
      </c>
    </row>
    <row r="55">
      <c r="A55" s="4" t="n"/>
      <c r="B55" s="4" t="n"/>
      <c r="C55" s="4" t="n"/>
      <c r="D55" s="4" t="n"/>
      <c r="E55" s="6" t="n"/>
      <c r="F55" s="4" t="n"/>
      <c r="G55" s="7">
        <f>IF(A55="","",ROUNDUP(D55/30*$D$3,0))</f>
        <v/>
      </c>
      <c r="H55" s="7">
        <f>IF(A55="","",G55+ROUNDUP(D55/30*F55,0))</f>
        <v/>
      </c>
      <c r="I55" s="7">
        <f>IF(A55="","",IF(C55&lt;=G55,"COMPRAR JÁ",IF(C55&lt;=H55,"Repor","OK")))</f>
        <v/>
      </c>
      <c r="J55" s="7">
        <f>IF(OR(A55="",I55="OK"),"",MAX(0,H55+D55-C55))</f>
        <v/>
      </c>
      <c r="K55" s="8">
        <f>IF(A55="","",D55*12*E55)</f>
        <v/>
      </c>
      <c r="L55" s="9">
        <f>IF(OR(A55="",$K$67=0),"",SUMIF($K$6:$K$65,"&gt;="&amp;K55)/$K$67)</f>
        <v/>
      </c>
      <c r="M55" s="7">
        <f>IF(L55="","",IF(L55&lt;=0.8,"A",IF(L55&lt;=0.95,"B","C")))</f>
        <v/>
      </c>
    </row>
    <row r="56">
      <c r="A56" s="4" t="n"/>
      <c r="B56" s="4" t="n"/>
      <c r="C56" s="4" t="n"/>
      <c r="D56" s="4" t="n"/>
      <c r="E56" s="6" t="n"/>
      <c r="F56" s="4" t="n"/>
      <c r="G56" s="7">
        <f>IF(A56="","",ROUNDUP(D56/30*$D$3,0))</f>
        <v/>
      </c>
      <c r="H56" s="7">
        <f>IF(A56="","",G56+ROUNDUP(D56/30*F56,0))</f>
        <v/>
      </c>
      <c r="I56" s="7">
        <f>IF(A56="","",IF(C56&lt;=G56,"COMPRAR JÁ",IF(C56&lt;=H56,"Repor","OK")))</f>
        <v/>
      </c>
      <c r="J56" s="7">
        <f>IF(OR(A56="",I56="OK"),"",MAX(0,H56+D56-C56))</f>
        <v/>
      </c>
      <c r="K56" s="8">
        <f>IF(A56="","",D56*12*E56)</f>
        <v/>
      </c>
      <c r="L56" s="9">
        <f>IF(OR(A56="",$K$67=0),"",SUMIF($K$6:$K$65,"&gt;="&amp;K56)/$K$67)</f>
        <v/>
      </c>
      <c r="M56" s="7">
        <f>IF(L56="","",IF(L56&lt;=0.8,"A",IF(L56&lt;=0.95,"B","C")))</f>
        <v/>
      </c>
    </row>
    <row r="57">
      <c r="A57" s="4" t="n"/>
      <c r="B57" s="4" t="n"/>
      <c r="C57" s="4" t="n"/>
      <c r="D57" s="4" t="n"/>
      <c r="E57" s="6" t="n"/>
      <c r="F57" s="4" t="n"/>
      <c r="G57" s="7">
        <f>IF(A57="","",ROUNDUP(D57/30*$D$3,0))</f>
        <v/>
      </c>
      <c r="H57" s="7">
        <f>IF(A57="","",G57+ROUNDUP(D57/30*F57,0))</f>
        <v/>
      </c>
      <c r="I57" s="7">
        <f>IF(A57="","",IF(C57&lt;=G57,"COMPRAR JÁ",IF(C57&lt;=H57,"Repor","OK")))</f>
        <v/>
      </c>
      <c r="J57" s="7">
        <f>IF(OR(A57="",I57="OK"),"",MAX(0,H57+D57-C57))</f>
        <v/>
      </c>
      <c r="K57" s="8">
        <f>IF(A57="","",D57*12*E57)</f>
        <v/>
      </c>
      <c r="L57" s="9">
        <f>IF(OR(A57="",$K$67=0),"",SUMIF($K$6:$K$65,"&gt;="&amp;K57)/$K$67)</f>
        <v/>
      </c>
      <c r="M57" s="7">
        <f>IF(L57="","",IF(L57&lt;=0.8,"A",IF(L57&lt;=0.95,"B","C")))</f>
        <v/>
      </c>
    </row>
    <row r="58">
      <c r="A58" s="4" t="n"/>
      <c r="B58" s="4" t="n"/>
      <c r="C58" s="4" t="n"/>
      <c r="D58" s="4" t="n"/>
      <c r="E58" s="6" t="n"/>
      <c r="F58" s="4" t="n"/>
      <c r="G58" s="7">
        <f>IF(A58="","",ROUNDUP(D58/30*$D$3,0))</f>
        <v/>
      </c>
      <c r="H58" s="7">
        <f>IF(A58="","",G58+ROUNDUP(D58/30*F58,0))</f>
        <v/>
      </c>
      <c r="I58" s="7">
        <f>IF(A58="","",IF(C58&lt;=G58,"COMPRAR JÁ",IF(C58&lt;=H58,"Repor","OK")))</f>
        <v/>
      </c>
      <c r="J58" s="7">
        <f>IF(OR(A58="",I58="OK"),"",MAX(0,H58+D58-C58))</f>
        <v/>
      </c>
      <c r="K58" s="8">
        <f>IF(A58="","",D58*12*E58)</f>
        <v/>
      </c>
      <c r="L58" s="9">
        <f>IF(OR(A58="",$K$67=0),"",SUMIF($K$6:$K$65,"&gt;="&amp;K58)/$K$67)</f>
        <v/>
      </c>
      <c r="M58" s="7">
        <f>IF(L58="","",IF(L58&lt;=0.8,"A",IF(L58&lt;=0.95,"B","C")))</f>
        <v/>
      </c>
    </row>
    <row r="59">
      <c r="A59" s="4" t="n"/>
      <c r="B59" s="4" t="n"/>
      <c r="C59" s="4" t="n"/>
      <c r="D59" s="4" t="n"/>
      <c r="E59" s="6" t="n"/>
      <c r="F59" s="4" t="n"/>
      <c r="G59" s="7">
        <f>IF(A59="","",ROUNDUP(D59/30*$D$3,0))</f>
        <v/>
      </c>
      <c r="H59" s="7">
        <f>IF(A59="","",G59+ROUNDUP(D59/30*F59,0))</f>
        <v/>
      </c>
      <c r="I59" s="7">
        <f>IF(A59="","",IF(C59&lt;=G59,"COMPRAR JÁ",IF(C59&lt;=H59,"Repor","OK")))</f>
        <v/>
      </c>
      <c r="J59" s="7">
        <f>IF(OR(A59="",I59="OK"),"",MAX(0,H59+D59-C59))</f>
        <v/>
      </c>
      <c r="K59" s="8">
        <f>IF(A59="","",D59*12*E59)</f>
        <v/>
      </c>
      <c r="L59" s="9">
        <f>IF(OR(A59="",$K$67=0),"",SUMIF($K$6:$K$65,"&gt;="&amp;K59)/$K$67)</f>
        <v/>
      </c>
      <c r="M59" s="7">
        <f>IF(L59="","",IF(L59&lt;=0.8,"A",IF(L59&lt;=0.95,"B","C")))</f>
        <v/>
      </c>
    </row>
    <row r="60">
      <c r="A60" s="4" t="n"/>
      <c r="B60" s="4" t="n"/>
      <c r="C60" s="4" t="n"/>
      <c r="D60" s="4" t="n"/>
      <c r="E60" s="6" t="n"/>
      <c r="F60" s="4" t="n"/>
      <c r="G60" s="7">
        <f>IF(A60="","",ROUNDUP(D60/30*$D$3,0))</f>
        <v/>
      </c>
      <c r="H60" s="7">
        <f>IF(A60="","",G60+ROUNDUP(D60/30*F60,0))</f>
        <v/>
      </c>
      <c r="I60" s="7">
        <f>IF(A60="","",IF(C60&lt;=G60,"COMPRAR JÁ",IF(C60&lt;=H60,"Repor","OK")))</f>
        <v/>
      </c>
      <c r="J60" s="7">
        <f>IF(OR(A60="",I60="OK"),"",MAX(0,H60+D60-C60))</f>
        <v/>
      </c>
      <c r="K60" s="8">
        <f>IF(A60="","",D60*12*E60)</f>
        <v/>
      </c>
      <c r="L60" s="9">
        <f>IF(OR(A60="",$K$67=0),"",SUMIF($K$6:$K$65,"&gt;="&amp;K60)/$K$67)</f>
        <v/>
      </c>
      <c r="M60" s="7">
        <f>IF(L60="","",IF(L60&lt;=0.8,"A",IF(L60&lt;=0.95,"B","C")))</f>
        <v/>
      </c>
    </row>
    <row r="61">
      <c r="A61" s="4" t="n"/>
      <c r="B61" s="4" t="n"/>
      <c r="C61" s="4" t="n"/>
      <c r="D61" s="4" t="n"/>
      <c r="E61" s="6" t="n"/>
      <c r="F61" s="4" t="n"/>
      <c r="G61" s="7">
        <f>IF(A61="","",ROUNDUP(D61/30*$D$3,0))</f>
        <v/>
      </c>
      <c r="H61" s="7">
        <f>IF(A61="","",G61+ROUNDUP(D61/30*F61,0))</f>
        <v/>
      </c>
      <c r="I61" s="7">
        <f>IF(A61="","",IF(C61&lt;=G61,"COMPRAR JÁ",IF(C61&lt;=H61,"Repor","OK")))</f>
        <v/>
      </c>
      <c r="J61" s="7">
        <f>IF(OR(A61="",I61="OK"),"",MAX(0,H61+D61-C61))</f>
        <v/>
      </c>
      <c r="K61" s="8">
        <f>IF(A61="","",D61*12*E61)</f>
        <v/>
      </c>
      <c r="L61" s="9">
        <f>IF(OR(A61="",$K$67=0),"",SUMIF($K$6:$K$65,"&gt;="&amp;K61)/$K$67)</f>
        <v/>
      </c>
      <c r="M61" s="7">
        <f>IF(L61="","",IF(L61&lt;=0.8,"A",IF(L61&lt;=0.95,"B","C")))</f>
        <v/>
      </c>
    </row>
    <row r="62">
      <c r="A62" s="4" t="n"/>
      <c r="B62" s="4" t="n"/>
      <c r="C62" s="4" t="n"/>
      <c r="D62" s="4" t="n"/>
      <c r="E62" s="6" t="n"/>
      <c r="F62" s="4" t="n"/>
      <c r="G62" s="7">
        <f>IF(A62="","",ROUNDUP(D62/30*$D$3,0))</f>
        <v/>
      </c>
      <c r="H62" s="7">
        <f>IF(A62="","",G62+ROUNDUP(D62/30*F62,0))</f>
        <v/>
      </c>
      <c r="I62" s="7">
        <f>IF(A62="","",IF(C62&lt;=G62,"COMPRAR JÁ",IF(C62&lt;=H62,"Repor","OK")))</f>
        <v/>
      </c>
      <c r="J62" s="7">
        <f>IF(OR(A62="",I62="OK"),"",MAX(0,H62+D62-C62))</f>
        <v/>
      </c>
      <c r="K62" s="8">
        <f>IF(A62="","",D62*12*E62)</f>
        <v/>
      </c>
      <c r="L62" s="9">
        <f>IF(OR(A62="",$K$67=0),"",SUMIF($K$6:$K$65,"&gt;="&amp;K62)/$K$67)</f>
        <v/>
      </c>
      <c r="M62" s="7">
        <f>IF(L62="","",IF(L62&lt;=0.8,"A",IF(L62&lt;=0.95,"B","C")))</f>
        <v/>
      </c>
    </row>
    <row r="63">
      <c r="A63" s="4" t="n"/>
      <c r="B63" s="4" t="n"/>
      <c r="C63" s="4" t="n"/>
      <c r="D63" s="4" t="n"/>
      <c r="E63" s="6" t="n"/>
      <c r="F63" s="4" t="n"/>
      <c r="G63" s="7">
        <f>IF(A63="","",ROUNDUP(D63/30*$D$3,0))</f>
        <v/>
      </c>
      <c r="H63" s="7">
        <f>IF(A63="","",G63+ROUNDUP(D63/30*F63,0))</f>
        <v/>
      </c>
      <c r="I63" s="7">
        <f>IF(A63="","",IF(C63&lt;=G63,"COMPRAR JÁ",IF(C63&lt;=H63,"Repor","OK")))</f>
        <v/>
      </c>
      <c r="J63" s="7">
        <f>IF(OR(A63="",I63="OK"),"",MAX(0,H63+D63-C63))</f>
        <v/>
      </c>
      <c r="K63" s="8">
        <f>IF(A63="","",D63*12*E63)</f>
        <v/>
      </c>
      <c r="L63" s="9">
        <f>IF(OR(A63="",$K$67=0),"",SUMIF($K$6:$K$65,"&gt;="&amp;K63)/$K$67)</f>
        <v/>
      </c>
      <c r="M63" s="7">
        <f>IF(L63="","",IF(L63&lt;=0.8,"A",IF(L63&lt;=0.95,"B","C")))</f>
        <v/>
      </c>
    </row>
    <row r="64">
      <c r="A64" s="4" t="n"/>
      <c r="B64" s="4" t="n"/>
      <c r="C64" s="4" t="n"/>
      <c r="D64" s="4" t="n"/>
      <c r="E64" s="6" t="n"/>
      <c r="F64" s="4" t="n"/>
      <c r="G64" s="7">
        <f>IF(A64="","",ROUNDUP(D64/30*$D$3,0))</f>
        <v/>
      </c>
      <c r="H64" s="7">
        <f>IF(A64="","",G64+ROUNDUP(D64/30*F64,0))</f>
        <v/>
      </c>
      <c r="I64" s="7">
        <f>IF(A64="","",IF(C64&lt;=G64,"COMPRAR JÁ",IF(C64&lt;=H64,"Repor","OK")))</f>
        <v/>
      </c>
      <c r="J64" s="7">
        <f>IF(OR(A64="",I64="OK"),"",MAX(0,H64+D64-C64))</f>
        <v/>
      </c>
      <c r="K64" s="8">
        <f>IF(A64="","",D64*12*E64)</f>
        <v/>
      </c>
      <c r="L64" s="9">
        <f>IF(OR(A64="",$K$67=0),"",SUMIF($K$6:$K$65,"&gt;="&amp;K64)/$K$67)</f>
        <v/>
      </c>
      <c r="M64" s="7">
        <f>IF(L64="","",IF(L64&lt;=0.8,"A",IF(L64&lt;=0.95,"B","C")))</f>
        <v/>
      </c>
    </row>
    <row r="65">
      <c r="A65" s="4" t="n"/>
      <c r="B65" s="4" t="n"/>
      <c r="C65" s="4" t="n"/>
      <c r="D65" s="4" t="n"/>
      <c r="E65" s="6" t="n"/>
      <c r="F65" s="4" t="n"/>
      <c r="G65" s="7">
        <f>IF(A65="","",ROUNDUP(D65/30*$D$3,0))</f>
        <v/>
      </c>
      <c r="H65" s="7">
        <f>IF(A65="","",G65+ROUNDUP(D65/30*F65,0))</f>
        <v/>
      </c>
      <c r="I65" s="7">
        <f>IF(A65="","",IF(C65&lt;=G65,"COMPRAR JÁ",IF(C65&lt;=H65,"Repor","OK")))</f>
        <v/>
      </c>
      <c r="J65" s="7">
        <f>IF(OR(A65="",I65="OK"),"",MAX(0,H65+D65-C65))</f>
        <v/>
      </c>
      <c r="K65" s="8">
        <f>IF(A65="","",D65*12*E65)</f>
        <v/>
      </c>
      <c r="L65" s="9">
        <f>IF(OR(A65="",$K$67=0),"",SUMIF($K$6:$K$65,"&gt;="&amp;K65)/$K$67)</f>
        <v/>
      </c>
      <c r="M65" s="7">
        <f>IF(L65="","",IF(L65&lt;=0.8,"A",IF(L65&lt;=0.95,"B","C")))</f>
        <v/>
      </c>
    </row>
    <row r="67">
      <c r="J67" s="3" t="inlineStr">
        <is>
          <t>Total</t>
        </is>
      </c>
      <c r="K67" s="10">
        <f>SUM(K6:K65)</f>
        <v/>
      </c>
    </row>
  </sheetData>
  <autoFilter ref="A5:M65"/>
  <conditionalFormatting sqref="I6:I65">
    <cfRule type="cellIs" priority="1" operator="equal" dxfId="0">
      <formula>"COMPRAR JÁ"</formula>
    </cfRule>
    <cfRule type="cellIs" priority="2" operator="equal" dxfId="1">
      <formula>"Repor"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Resumo e indicadores</t>
        </is>
      </c>
    </row>
    <row r="4">
      <c r="A4" s="11" t="inlineStr">
        <is>
          <t>Itens cadastrados</t>
        </is>
      </c>
      <c r="B4" s="12">
        <f>COUNTA(Estoque!A6:A65)</f>
        <v/>
      </c>
    </row>
    <row r="5">
      <c r="A5" s="11" t="inlineStr">
        <is>
          <t>Itens classe A (80% do valor)</t>
        </is>
      </c>
      <c r="B5" s="12">
        <f>COUNTIF(Estoque!M6:M65,"A")</f>
        <v/>
      </c>
    </row>
    <row r="6">
      <c r="A6" s="11" t="inlineStr">
        <is>
          <t>Itens classe B</t>
        </is>
      </c>
      <c r="B6" s="12">
        <f>COUNTIF(Estoque!M6:M65,"B")</f>
        <v/>
      </c>
    </row>
    <row r="7">
      <c r="A7" s="11" t="inlineStr">
        <is>
          <t>Itens classe C</t>
        </is>
      </c>
      <c r="B7" s="12">
        <f>COUNTIF(Estoque!M6:M65,"C")</f>
        <v/>
      </c>
    </row>
    <row r="8">
      <c r="A8" s="11" t="inlineStr">
        <is>
          <t>Itens para comprar já</t>
        </is>
      </c>
      <c r="B8" s="12">
        <f>COUNTIF(Estoque!I6:I65,"COMPRAR JÁ")</f>
        <v/>
      </c>
    </row>
    <row r="9">
      <c r="A9" s="11" t="inlineStr">
        <is>
          <t>Itens para repor</t>
        </is>
      </c>
      <c r="B9" s="12">
        <f>COUNTIF(Estoque!I6:I65,"Repor")</f>
        <v/>
      </c>
    </row>
    <row r="10">
      <c r="A10" s="11" t="inlineStr">
        <is>
          <t>Valor parado em estoque (R$)</t>
        </is>
      </c>
      <c r="B10" s="13">
        <f>SUMPRODUCT(Estoque!C6:C65,Estoque!E6:E65)</f>
        <v/>
      </c>
    </row>
    <row r="11">
      <c r="A11" s="11" t="inlineStr">
        <is>
          <t>Giro de estoque (vezes ao ano)</t>
        </is>
      </c>
      <c r="B11" s="14">
        <f>IFERROR(Estoque!K67/B10,"")</f>
        <v/>
      </c>
    </row>
    <row r="12">
      <c r="A12" s="15" t="inlineStr">
        <is>
          <t>Dica: filtre a coluna 'Situação' na aba Estoque para gerar a lista de compras da semana.</t>
        </is>
      </c>
    </row>
    <row r="13">
      <c r="A13" s="15" t="inlineStr">
        <is>
          <t>Como ler: giro = quanto você consome por ano ÷ o valor que está parado. Quanto maior, menos dinheiro encalhado.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2026-10-18T16:48:00Z</dcterms:created>
  <dcterms:modified xmlns:dcterms="http://purl.org/dc/terms/" xmlns:xsi="http://www.w3.org/2001/XMLSchema-instance" xsi:type="dcterms:W3CDTF">2026-10-18T16:48:00Z</dcterms:modified>
</cp:coreProperties>
</file>